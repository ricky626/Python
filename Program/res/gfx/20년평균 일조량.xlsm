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이상혁\Desktop\이상혁\졸작\vba로 만든 경사면 일조량\"/>
    </mc:Choice>
  </mc:AlternateContent>
  <bookViews>
    <workbookView xWindow="0" yWindow="0" windowWidth="15345" windowHeight="4515" activeTab="1"/>
  </bookViews>
  <sheets>
    <sheet name="sheet1" sheetId="2" r:id="rId1"/>
    <sheet name="20년평균" sheetId="1" r:id="rId2"/>
    <sheet name="20년월평균" sheetId="4" r:id="rId3"/>
  </sheets>
  <calcPr calcId="162913"/>
</workbook>
</file>

<file path=xl/calcChain.xml><?xml version="1.0" encoding="utf-8"?>
<calcChain xmlns="http://schemas.openxmlformats.org/spreadsheetml/2006/main">
  <c r="G3" i="1" l="1"/>
  <c r="G13" i="1"/>
  <c r="G14" i="1"/>
  <c r="G15" i="1"/>
  <c r="G16" i="1"/>
  <c r="G4" i="1"/>
  <c r="G5" i="1"/>
  <c r="G6" i="1"/>
  <c r="G7" i="1"/>
  <c r="G8" i="1"/>
  <c r="G9" i="1"/>
  <c r="G10" i="1"/>
  <c r="G11" i="1"/>
  <c r="G12" i="1"/>
  <c r="N47" i="4" l="1"/>
  <c r="M47" i="4"/>
  <c r="L47" i="4"/>
  <c r="K47" i="4"/>
  <c r="J47" i="4"/>
  <c r="I47" i="4"/>
  <c r="H47" i="4"/>
  <c r="G47" i="4"/>
  <c r="F47" i="4"/>
  <c r="E47" i="4"/>
  <c r="D47" i="4"/>
  <c r="C47" i="4"/>
  <c r="N46" i="4"/>
  <c r="M46" i="4"/>
  <c r="L46" i="4"/>
  <c r="K46" i="4"/>
  <c r="J46" i="4"/>
  <c r="I46" i="4"/>
  <c r="H46" i="4"/>
  <c r="G46" i="4"/>
  <c r="F46" i="4"/>
  <c r="E46" i="4"/>
  <c r="D46" i="4"/>
  <c r="C46" i="4"/>
  <c r="N45" i="4"/>
  <c r="M45" i="4"/>
  <c r="L45" i="4"/>
  <c r="K45" i="4"/>
  <c r="J45" i="4"/>
  <c r="I45" i="4"/>
  <c r="H45" i="4"/>
  <c r="G45" i="4"/>
  <c r="F45" i="4"/>
  <c r="E45" i="4"/>
  <c r="D45" i="4"/>
  <c r="C45" i="4"/>
  <c r="N44" i="4"/>
  <c r="M44" i="4"/>
  <c r="L44" i="4"/>
  <c r="K44" i="4"/>
  <c r="J44" i="4"/>
  <c r="I44" i="4"/>
  <c r="H44" i="4"/>
  <c r="G44" i="4"/>
  <c r="F44" i="4"/>
  <c r="E44" i="4"/>
  <c r="D44" i="4"/>
  <c r="C44" i="4"/>
  <c r="N43" i="4"/>
  <c r="M43" i="4"/>
  <c r="L43" i="4"/>
  <c r="K43" i="4"/>
  <c r="J43" i="4"/>
  <c r="I43" i="4"/>
  <c r="H43" i="4"/>
  <c r="G43" i="4"/>
  <c r="F43" i="4"/>
  <c r="E43" i="4"/>
  <c r="D43" i="4"/>
  <c r="C43" i="4"/>
  <c r="N42" i="4"/>
  <c r="M42" i="4"/>
  <c r="L42" i="4"/>
  <c r="K42" i="4"/>
  <c r="J42" i="4"/>
  <c r="I42" i="4"/>
  <c r="H42" i="4"/>
  <c r="G42" i="4"/>
  <c r="F42" i="4"/>
  <c r="E42" i="4"/>
  <c r="D42" i="4"/>
  <c r="C42" i="4"/>
  <c r="N41" i="4"/>
  <c r="M41" i="4"/>
  <c r="L41" i="4"/>
  <c r="K41" i="4"/>
  <c r="J41" i="4"/>
  <c r="I41" i="4"/>
  <c r="H41" i="4"/>
  <c r="G41" i="4"/>
  <c r="F41" i="4"/>
  <c r="E41" i="4"/>
  <c r="D41" i="4"/>
  <c r="C41" i="4"/>
  <c r="N40" i="4"/>
  <c r="M40" i="4"/>
  <c r="L40" i="4"/>
  <c r="K40" i="4"/>
  <c r="J40" i="4"/>
  <c r="I40" i="4"/>
  <c r="H40" i="4"/>
  <c r="G40" i="4"/>
  <c r="F40" i="4"/>
  <c r="E40" i="4"/>
  <c r="D40" i="4"/>
  <c r="C40" i="4"/>
  <c r="N39" i="4"/>
  <c r="M39" i="4"/>
  <c r="L39" i="4"/>
  <c r="K39" i="4"/>
  <c r="J39" i="4"/>
  <c r="I39" i="4"/>
  <c r="H39" i="4"/>
  <c r="G39" i="4"/>
  <c r="F39" i="4"/>
  <c r="E39" i="4"/>
  <c r="D39" i="4"/>
  <c r="C39" i="4"/>
  <c r="N38" i="4"/>
  <c r="M38" i="4"/>
  <c r="L38" i="4"/>
  <c r="K38" i="4"/>
  <c r="J38" i="4"/>
  <c r="I38" i="4"/>
  <c r="H38" i="4"/>
  <c r="G38" i="4"/>
  <c r="F38" i="4"/>
  <c r="E38" i="4"/>
  <c r="D38" i="4"/>
  <c r="C38" i="4"/>
  <c r="N37" i="4"/>
  <c r="M37" i="4"/>
  <c r="L37" i="4"/>
  <c r="K37" i="4"/>
  <c r="J37" i="4"/>
  <c r="I37" i="4"/>
  <c r="H37" i="4"/>
  <c r="G37" i="4"/>
  <c r="F37" i="4"/>
  <c r="E37" i="4"/>
  <c r="D37" i="4"/>
  <c r="C37" i="4"/>
  <c r="N36" i="4"/>
  <c r="M36" i="4"/>
  <c r="L36" i="4"/>
  <c r="K36" i="4"/>
  <c r="J36" i="4"/>
  <c r="I36" i="4"/>
  <c r="H36" i="4"/>
  <c r="G36" i="4"/>
  <c r="F36" i="4"/>
  <c r="E36" i="4"/>
  <c r="D36" i="4"/>
  <c r="C36" i="4"/>
  <c r="N35" i="4"/>
  <c r="M35" i="4"/>
  <c r="L35" i="4"/>
  <c r="K35" i="4"/>
  <c r="J35" i="4"/>
  <c r="I35" i="4"/>
  <c r="H35" i="4"/>
  <c r="G35" i="4"/>
  <c r="F35" i="4"/>
  <c r="E35" i="4"/>
  <c r="D35" i="4"/>
  <c r="C35" i="4"/>
  <c r="N34" i="4"/>
  <c r="M34" i="4"/>
  <c r="L34" i="4"/>
  <c r="K34" i="4"/>
  <c r="J34" i="4"/>
  <c r="I34" i="4"/>
  <c r="H34" i="4"/>
  <c r="G34" i="4"/>
  <c r="F34" i="4"/>
  <c r="E34" i="4"/>
  <c r="D34" i="4"/>
  <c r="C34" i="4"/>
  <c r="N33" i="4"/>
  <c r="M33" i="4"/>
  <c r="L33" i="4"/>
  <c r="K33" i="4"/>
  <c r="J33" i="4"/>
  <c r="I33" i="4"/>
  <c r="H33" i="4"/>
  <c r="G33" i="4"/>
  <c r="F33" i="4"/>
  <c r="E33" i="4"/>
  <c r="D33" i="4"/>
  <c r="C33" i="4"/>
  <c r="N32" i="4"/>
  <c r="M32" i="4"/>
  <c r="L32" i="4"/>
  <c r="K32" i="4"/>
  <c r="J32" i="4"/>
  <c r="I32" i="4"/>
  <c r="H32" i="4"/>
  <c r="G32" i="4"/>
  <c r="F32" i="4"/>
  <c r="E32" i="4"/>
  <c r="D32" i="4"/>
  <c r="C32" i="4"/>
  <c r="N31" i="4"/>
  <c r="M31" i="4"/>
  <c r="L31" i="4"/>
  <c r="K31" i="4"/>
  <c r="J31" i="4"/>
  <c r="I31" i="4"/>
  <c r="H31" i="4"/>
  <c r="G31" i="4"/>
  <c r="F31" i="4"/>
  <c r="E31" i="4"/>
  <c r="D31" i="4"/>
  <c r="C31" i="4"/>
  <c r="N30" i="4"/>
  <c r="M30" i="4"/>
  <c r="L30" i="4"/>
  <c r="K30" i="4"/>
  <c r="J30" i="4"/>
  <c r="I30" i="4"/>
  <c r="H30" i="4"/>
  <c r="G30" i="4"/>
  <c r="F30" i="4"/>
  <c r="E30" i="4"/>
  <c r="D30" i="4"/>
  <c r="C30" i="4"/>
  <c r="N29" i="4"/>
  <c r="M29" i="4"/>
  <c r="L29" i="4"/>
  <c r="K29" i="4"/>
  <c r="J29" i="4"/>
  <c r="I29" i="4"/>
  <c r="H29" i="4"/>
  <c r="G29" i="4"/>
  <c r="F29" i="4"/>
  <c r="E29" i="4"/>
  <c r="D29" i="4"/>
  <c r="C29" i="4"/>
  <c r="N28" i="4"/>
  <c r="M28" i="4"/>
  <c r="L28" i="4"/>
  <c r="K28" i="4"/>
  <c r="J28" i="4"/>
  <c r="I28" i="4"/>
  <c r="H28" i="4"/>
  <c r="G28" i="4"/>
  <c r="F28" i="4"/>
  <c r="E28" i="4"/>
  <c r="D28" i="4"/>
  <c r="C28" i="4"/>
  <c r="N27" i="4"/>
  <c r="M27" i="4"/>
  <c r="L27" i="4"/>
  <c r="K27" i="4"/>
  <c r="J27" i="4"/>
  <c r="I27" i="4"/>
  <c r="H27" i="4"/>
  <c r="G27" i="4"/>
  <c r="F27" i="4"/>
  <c r="E27" i="4"/>
  <c r="D27" i="4"/>
  <c r="C27" i="4"/>
  <c r="N26" i="4"/>
  <c r="M26" i="4"/>
  <c r="L26" i="4"/>
  <c r="K26" i="4"/>
  <c r="J26" i="4"/>
  <c r="I26" i="4"/>
  <c r="H26" i="4"/>
  <c r="G26" i="4"/>
  <c r="F26" i="4"/>
  <c r="E26" i="4"/>
  <c r="D26" i="4"/>
  <c r="C26" i="4"/>
</calcChain>
</file>

<file path=xl/sharedStrings.xml><?xml version="1.0" encoding="utf-8"?>
<sst xmlns="http://schemas.openxmlformats.org/spreadsheetml/2006/main" count="111" uniqueCount="41">
  <si>
    <t>지점번호</t>
  </si>
  <si>
    <t>지점명</t>
  </si>
  <si>
    <t>20년 평균</t>
  </si>
  <si>
    <t>대관령</t>
  </si>
  <si>
    <t>춘천</t>
  </si>
  <si>
    <t>강릉</t>
  </si>
  <si>
    <t>서울</t>
  </si>
  <si>
    <t>인천</t>
  </si>
  <si>
    <t>원주</t>
  </si>
  <si>
    <t>수원</t>
  </si>
  <si>
    <t>서산</t>
  </si>
  <si>
    <t>청주</t>
  </si>
  <si>
    <t>대전</t>
  </si>
  <si>
    <t>추풍령</t>
  </si>
  <si>
    <t>안동</t>
  </si>
  <si>
    <t>포항</t>
  </si>
  <si>
    <t>대구</t>
  </si>
  <si>
    <t>전주</t>
  </si>
  <si>
    <t>광주</t>
  </si>
  <si>
    <t>부산</t>
  </si>
  <si>
    <t>목포</t>
  </si>
  <si>
    <t>흑산도</t>
  </si>
  <si>
    <t>제주</t>
  </si>
  <si>
    <t>고산</t>
  </si>
  <si>
    <t>진주</t>
  </si>
  <si>
    <t>지역</t>
    <phoneticPr fontId="18" type="noConversion"/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</si>
  <si>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</si>
  <si>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</si>
  <si>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</si>
  <si>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</si>
  <si>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</si>
  <si>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</si>
  <si>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</si>
  <si>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</si>
  <si>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</si>
  <si>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</si>
  <si>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</si>
  <si>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</si>
  <si>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지점번호</t>
    <phoneticPr fontId="18" type="noConversion"/>
  </si>
  <si>
    <t>20년 평균 경사면(30도)일조량</t>
    <phoneticPr fontId="18" type="noConversion"/>
  </si>
  <si>
    <t>W/m2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</si>
</sst>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3" fontId="0" fillId="0" borderId="0" xfId="0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$B$7" fmlaRange="'20년평균'!$B$2:$B$16" noThreeD="1" sel="5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1</xdr:row>
      <xdr:rowOff>133350</xdr:rowOff>
    </xdr:from>
    <xdr:to>
      <xdr:col>7</xdr:col>
      <xdr:colOff>466725</xdr:colOff>
      <xdr:row>3</xdr:row>
      <xdr:rowOff>161925</xdr:rowOff>
    </xdr:to>
    <xdr:sp macro="" textlink="">
      <xdr:nvSpPr>
        <xdr:cNvPr id="2" name="TextBox 1"/>
        <xdr:cNvSpPr txBox="1"/>
      </xdr:nvSpPr>
      <xdr:spPr>
        <a:xfrm>
          <a:off x="2695575" y="342900"/>
          <a:ext cx="2571750" cy="447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600" b="1"/>
            <a:t>대한민국</a:t>
          </a:r>
          <a:r>
            <a:rPr lang="ko-KR" altLang="en-US" sz="1600" b="1" baseline="0"/>
            <a:t> 지역</a:t>
          </a:r>
          <a:r>
            <a:rPr lang="ko-KR" altLang="en-US" sz="1600" b="1"/>
            <a:t> 평균 일사량</a:t>
          </a:r>
        </a:p>
      </xdr:txBody>
    </xdr:sp>
    <xdr:clientData/>
  </xdr:twoCellAnchor>
  <xdr:twoCellAnchor editAs="oneCell">
    <xdr:from>
      <xdr:col>2</xdr:col>
      <xdr:colOff>676274</xdr:colOff>
      <xdr:row>4</xdr:row>
      <xdr:rowOff>200025</xdr:rowOff>
    </xdr:from>
    <xdr:to>
      <xdr:col>9</xdr:col>
      <xdr:colOff>380999</xdr:colOff>
      <xdr:row>31</xdr:row>
      <xdr:rowOff>46834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7874" y="1038225"/>
          <a:ext cx="4505325" cy="55046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6</xdr:row>
          <xdr:rowOff>9525</xdr:rowOff>
        </xdr:from>
        <xdr:to>
          <xdr:col>1</xdr:col>
          <xdr:colOff>676275</xdr:colOff>
          <xdr:row>11</xdr:row>
          <xdr:rowOff>95250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14</xdr:row>
          <xdr:rowOff>0</xdr:rowOff>
        </xdr:from>
        <xdr:to>
          <xdr:col>2</xdr:col>
          <xdr:colOff>0</xdr:colOff>
          <xdr:row>14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L7"/>
  <sheetViews>
    <sheetView topLeftCell="A4" workbookViewId="0">
      <selection activeCell="L8" sqref="L8"/>
    </sheetView>
  </sheetViews>
  <sheetFormatPr defaultRowHeight="16.5" x14ac:dyDescent="0.3"/>
  <cols>
    <col min="10" max="10" width="18.375" customWidth="1"/>
    <col min="11" max="11" width="28.625" bestFit="1" customWidth="1"/>
    <col min="12" max="12" width="17.875" customWidth="1"/>
  </cols>
  <sheetData>
    <row r="6" spans="2:12" x14ac:dyDescent="0.3">
      <c r="B6" t="s">
        <v>25</v>
      </c>
      <c r="K6" t="s">
        <v>39</v>
      </c>
    </row>
    <row r="7" spans="2:12" x14ac:dyDescent="0.3">
      <c r="B7">
        <v>5</v>
      </c>
      <c r="K7">
        <v>4196.1040000000003</v>
      </c>
      <c r="L7" t="s">
        <v>40</v>
      </c>
    </row>
  </sheetData>
  <phoneticPr fontId="1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List Box 1">
              <controlPr defaultSize="0" autoLine="0" autoPict="0">
                <anchor moveWithCells="1">
                  <from>
                    <xdr:col>0</xdr:col>
                    <xdr:colOff>666750</xdr:colOff>
                    <xdr:row>6</xdr:row>
                    <xdr:rowOff>9525</xdr:rowOff>
                  </from>
                  <to>
                    <xdr:col>1</xdr:col>
                    <xdr:colOff>676275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검색">
                <anchor moveWithCells="1" sizeWithCells="1">
                  <from>
                    <xdr:col>0</xdr:col>
                    <xdr:colOff>666750</xdr:colOff>
                    <xdr:row>14</xdr:row>
                    <xdr:rowOff>0</xdr:rowOff>
                  </from>
                  <to>
                    <xdr:col>2</xdr:col>
                    <xdr:colOff>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6"/>
  <sheetViews>
    <sheetView tabSelected="1" topLeftCell="E1" workbookViewId="0">
      <selection activeCell="G3" sqref="G3"/>
    </sheetView>
  </sheetViews>
  <sheetFormatPr defaultRowHeight="16.5" x14ac:dyDescent="0.3"/>
  <cols>
    <col min="7" max="7" width="14" bestFit="1" customWidth="1"/>
  </cols>
  <sheetData>
    <row r="1" spans="1:21" x14ac:dyDescent="0.3">
      <c r="A1" t="s">
        <v>0</v>
      </c>
      <c r="B1" t="s">
        <v>1</v>
      </c>
      <c r="C1" t="s">
        <v>2</v>
      </c>
      <c r="E1" t="s">
        <v>0</v>
      </c>
      <c r="F1" t="s">
        <v>1</v>
      </c>
      <c r="G1" t="s">
        <v>2</v>
      </c>
    </row>
    <row r="2" spans="1:21" x14ac:dyDescent="0.3">
      <c r="A2">
        <v>101</v>
      </c>
      <c r="B2" t="s">
        <v>4</v>
      </c>
      <c r="C2">
        <v>4597.63</v>
      </c>
      <c r="E2">
        <v>101</v>
      </c>
      <c r="F2" t="s">
        <v>4</v>
      </c>
      <c r="G2" s="1">
        <v>3994</v>
      </c>
    </row>
    <row r="3" spans="1:21" x14ac:dyDescent="0.3">
      <c r="A3">
        <v>105</v>
      </c>
      <c r="B3" t="s">
        <v>5</v>
      </c>
      <c r="C3">
        <v>4531.3</v>
      </c>
      <c r="E3">
        <v>105</v>
      </c>
      <c r="F3" t="s">
        <v>5</v>
      </c>
      <c r="G3" s="1">
        <f>1.163*U3</f>
        <v>4047.2400000000002</v>
      </c>
      <c r="U3" s="1">
        <v>3480</v>
      </c>
    </row>
    <row r="4" spans="1:21" x14ac:dyDescent="0.3">
      <c r="A4">
        <v>108</v>
      </c>
      <c r="B4" t="s">
        <v>6</v>
      </c>
      <c r="C4">
        <v>4143.82</v>
      </c>
      <c r="E4">
        <v>108</v>
      </c>
      <c r="F4" t="s">
        <v>6</v>
      </c>
      <c r="G4" s="1">
        <f t="shared" ref="G4:G16" si="0">1.163*U4</f>
        <v>3672.7539999999999</v>
      </c>
      <c r="U4" s="1">
        <v>3158</v>
      </c>
    </row>
    <row r="5" spans="1:21" x14ac:dyDescent="0.3">
      <c r="A5">
        <v>114</v>
      </c>
      <c r="B5" t="s">
        <v>8</v>
      </c>
      <c r="C5">
        <v>4608.1000000000004</v>
      </c>
      <c r="E5">
        <v>114</v>
      </c>
      <c r="F5" t="s">
        <v>8</v>
      </c>
      <c r="G5" s="1">
        <f t="shared" si="0"/>
        <v>3972.808</v>
      </c>
      <c r="U5" s="1">
        <v>3416</v>
      </c>
    </row>
    <row r="6" spans="1:21" x14ac:dyDescent="0.3">
      <c r="A6">
        <v>129</v>
      </c>
      <c r="B6" t="s">
        <v>10</v>
      </c>
      <c r="C6">
        <v>4812.8999999999996</v>
      </c>
      <c r="E6">
        <v>129</v>
      </c>
      <c r="F6" t="s">
        <v>10</v>
      </c>
      <c r="G6" s="1">
        <f t="shared" si="0"/>
        <v>4196.1040000000003</v>
      </c>
      <c r="U6" s="1">
        <v>3608</v>
      </c>
    </row>
    <row r="7" spans="1:21" x14ac:dyDescent="0.3">
      <c r="A7">
        <v>131</v>
      </c>
      <c r="B7" t="s">
        <v>11</v>
      </c>
      <c r="C7">
        <v>4709.26</v>
      </c>
      <c r="E7">
        <v>131</v>
      </c>
      <c r="F7" t="s">
        <v>11</v>
      </c>
      <c r="G7" s="1">
        <f t="shared" si="0"/>
        <v>4020.491</v>
      </c>
      <c r="U7" s="1">
        <v>3457</v>
      </c>
    </row>
    <row r="8" spans="1:21" x14ac:dyDescent="0.3">
      <c r="A8">
        <v>133</v>
      </c>
      <c r="B8" t="s">
        <v>12</v>
      </c>
      <c r="C8">
        <v>4820.29</v>
      </c>
      <c r="E8">
        <v>133</v>
      </c>
      <c r="F8" t="s">
        <v>12</v>
      </c>
      <c r="G8" s="1">
        <f t="shared" si="0"/>
        <v>4158.8879999999999</v>
      </c>
      <c r="U8" s="1">
        <v>3576</v>
      </c>
    </row>
    <row r="9" spans="1:21" x14ac:dyDescent="0.3">
      <c r="A9">
        <v>138</v>
      </c>
      <c r="B9" t="s">
        <v>15</v>
      </c>
      <c r="C9">
        <v>4737.28</v>
      </c>
      <c r="E9">
        <v>138</v>
      </c>
      <c r="F9" t="s">
        <v>15</v>
      </c>
      <c r="G9" s="1">
        <f t="shared" si="0"/>
        <v>4180.9849999999997</v>
      </c>
      <c r="U9" s="1">
        <v>3595</v>
      </c>
    </row>
    <row r="10" spans="1:21" x14ac:dyDescent="0.3">
      <c r="A10">
        <v>143</v>
      </c>
      <c r="B10" t="s">
        <v>16</v>
      </c>
      <c r="C10">
        <v>4672.6400000000003</v>
      </c>
      <c r="E10">
        <v>143</v>
      </c>
      <c r="F10" t="s">
        <v>16</v>
      </c>
      <c r="G10" s="1">
        <f t="shared" si="0"/>
        <v>4061.1959999999999</v>
      </c>
      <c r="U10" s="1">
        <v>3492</v>
      </c>
    </row>
    <row r="11" spans="1:21" x14ac:dyDescent="0.3">
      <c r="A11">
        <v>146</v>
      </c>
      <c r="B11" t="s">
        <v>17</v>
      </c>
      <c r="C11">
        <v>4505.1899999999996</v>
      </c>
      <c r="E11">
        <v>146</v>
      </c>
      <c r="F11" t="s">
        <v>17</v>
      </c>
      <c r="G11" s="1">
        <f t="shared" si="0"/>
        <v>3876.279</v>
      </c>
      <c r="U11" s="1">
        <v>3333</v>
      </c>
    </row>
    <row r="12" spans="1:21" x14ac:dyDescent="0.3">
      <c r="A12">
        <v>156</v>
      </c>
      <c r="B12" t="s">
        <v>18</v>
      </c>
      <c r="C12">
        <v>4864.33</v>
      </c>
      <c r="E12">
        <v>156</v>
      </c>
      <c r="F12" t="s">
        <v>18</v>
      </c>
      <c r="G12" s="1">
        <f t="shared" si="0"/>
        <v>4118.183</v>
      </c>
      <c r="U12" s="1">
        <v>3541</v>
      </c>
    </row>
    <row r="13" spans="1:21" x14ac:dyDescent="0.3">
      <c r="A13">
        <v>159</v>
      </c>
      <c r="B13" t="s">
        <v>19</v>
      </c>
      <c r="C13">
        <v>4668.9799999999996</v>
      </c>
      <c r="E13">
        <v>159</v>
      </c>
      <c r="F13" t="s">
        <v>19</v>
      </c>
      <c r="G13" s="1">
        <f t="shared" si="0"/>
        <v>4226.3420000000006</v>
      </c>
      <c r="U13" s="1">
        <v>3634</v>
      </c>
    </row>
    <row r="14" spans="1:21" x14ac:dyDescent="0.3">
      <c r="A14">
        <v>165</v>
      </c>
      <c r="B14" t="s">
        <v>20</v>
      </c>
      <c r="C14">
        <v>5110.3900000000003</v>
      </c>
      <c r="E14">
        <v>165</v>
      </c>
      <c r="F14" t="s">
        <v>20</v>
      </c>
      <c r="G14" s="1">
        <f t="shared" si="0"/>
        <v>4305.4260000000004</v>
      </c>
      <c r="U14" s="1">
        <v>3702</v>
      </c>
    </row>
    <row r="15" spans="1:21" x14ac:dyDescent="0.3">
      <c r="A15">
        <v>184</v>
      </c>
      <c r="B15" t="s">
        <v>22</v>
      </c>
      <c r="C15">
        <v>4535.53</v>
      </c>
      <c r="E15">
        <v>184</v>
      </c>
      <c r="F15" t="s">
        <v>22</v>
      </c>
      <c r="G15" s="1">
        <f t="shared" si="0"/>
        <v>3715.7850000000003</v>
      </c>
      <c r="U15" s="1">
        <v>3195</v>
      </c>
    </row>
    <row r="16" spans="1:21" x14ac:dyDescent="0.3">
      <c r="A16">
        <v>192</v>
      </c>
      <c r="B16" t="s">
        <v>24</v>
      </c>
      <c r="C16">
        <v>5047.09</v>
      </c>
      <c r="E16">
        <v>192</v>
      </c>
      <c r="F16" t="s">
        <v>24</v>
      </c>
      <c r="G16" s="1">
        <f t="shared" si="0"/>
        <v>4390.3249999999998</v>
      </c>
      <c r="U16" s="1">
        <v>3775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7"/>
  <sheetViews>
    <sheetView workbookViewId="0">
      <selection activeCell="H2" sqref="H2"/>
    </sheetView>
  </sheetViews>
  <sheetFormatPr defaultRowHeight="16.5" x14ac:dyDescent="0.3"/>
  <sheetData>
    <row r="1" spans="1:14" x14ac:dyDescent="0.3">
      <c r="A1" t="s">
        <v>0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</row>
    <row r="2" spans="1:14" x14ac:dyDescent="0.3">
      <c r="A2">
        <v>100</v>
      </c>
      <c r="B2" t="s">
        <v>3</v>
      </c>
      <c r="C2">
        <v>277.01</v>
      </c>
      <c r="D2">
        <v>323.27999999999997</v>
      </c>
      <c r="E2">
        <v>427.4</v>
      </c>
      <c r="F2">
        <v>508.92</v>
      </c>
      <c r="G2">
        <v>559.16</v>
      </c>
      <c r="H2">
        <v>487.52</v>
      </c>
      <c r="I2">
        <v>395.96</v>
      </c>
      <c r="J2">
        <v>368.37</v>
      </c>
      <c r="K2">
        <v>333.54</v>
      </c>
      <c r="L2">
        <v>351.19</v>
      </c>
      <c r="M2">
        <v>262.55</v>
      </c>
      <c r="N2">
        <v>249.71</v>
      </c>
    </row>
    <row r="3" spans="1:14" x14ac:dyDescent="0.3">
      <c r="A3">
        <v>101</v>
      </c>
      <c r="B3" t="s">
        <v>4</v>
      </c>
      <c r="C3">
        <v>231.13</v>
      </c>
      <c r="D3">
        <v>292.67</v>
      </c>
      <c r="E3">
        <v>413.28</v>
      </c>
      <c r="F3">
        <v>494.82</v>
      </c>
      <c r="G3">
        <v>562.37</v>
      </c>
      <c r="H3">
        <v>524.54999999999995</v>
      </c>
      <c r="I3">
        <v>446.47</v>
      </c>
      <c r="J3">
        <v>467.73</v>
      </c>
      <c r="K3">
        <v>402.95</v>
      </c>
      <c r="L3">
        <v>336.73</v>
      </c>
      <c r="M3">
        <v>224.2</v>
      </c>
      <c r="N3">
        <v>200.75</v>
      </c>
    </row>
    <row r="4" spans="1:14" x14ac:dyDescent="0.3">
      <c r="A4">
        <v>105</v>
      </c>
      <c r="B4" t="s">
        <v>5</v>
      </c>
      <c r="C4">
        <v>256.74</v>
      </c>
      <c r="D4">
        <v>299.08999999999997</v>
      </c>
      <c r="E4">
        <v>408.84</v>
      </c>
      <c r="F4">
        <v>488.77</v>
      </c>
      <c r="G4">
        <v>552.49</v>
      </c>
      <c r="H4">
        <v>493</v>
      </c>
      <c r="I4">
        <v>425.27</v>
      </c>
      <c r="J4">
        <v>416.25</v>
      </c>
      <c r="K4">
        <v>360.96</v>
      </c>
      <c r="L4">
        <v>344.92</v>
      </c>
      <c r="M4">
        <v>250.92</v>
      </c>
      <c r="N4">
        <v>234.05</v>
      </c>
    </row>
    <row r="5" spans="1:14" x14ac:dyDescent="0.3">
      <c r="A5">
        <v>108</v>
      </c>
      <c r="B5" t="s">
        <v>6</v>
      </c>
      <c r="C5">
        <v>212.06</v>
      </c>
      <c r="D5">
        <v>276.44</v>
      </c>
      <c r="E5">
        <v>383.15</v>
      </c>
      <c r="F5">
        <v>467.83</v>
      </c>
      <c r="G5">
        <v>515.4</v>
      </c>
      <c r="H5">
        <v>457.31</v>
      </c>
      <c r="I5">
        <v>361.1</v>
      </c>
      <c r="J5">
        <v>395.66</v>
      </c>
      <c r="K5">
        <v>357.36</v>
      </c>
      <c r="L5">
        <v>324.24</v>
      </c>
      <c r="M5">
        <v>211.03</v>
      </c>
      <c r="N5">
        <v>182.25</v>
      </c>
    </row>
    <row r="6" spans="1:14" x14ac:dyDescent="0.3">
      <c r="A6">
        <v>112</v>
      </c>
      <c r="B6" t="s">
        <v>7</v>
      </c>
      <c r="C6">
        <v>236.47</v>
      </c>
      <c r="D6">
        <v>307.7</v>
      </c>
      <c r="E6">
        <v>431.62</v>
      </c>
      <c r="F6">
        <v>509.59</v>
      </c>
      <c r="G6">
        <v>556.86</v>
      </c>
      <c r="H6">
        <v>508.68</v>
      </c>
      <c r="I6">
        <v>434.2</v>
      </c>
      <c r="J6">
        <v>471.38</v>
      </c>
      <c r="K6">
        <v>422.85</v>
      </c>
      <c r="L6">
        <v>380.55</v>
      </c>
      <c r="M6">
        <v>250.94</v>
      </c>
      <c r="N6">
        <v>223.23</v>
      </c>
    </row>
    <row r="7" spans="1:14" x14ac:dyDescent="0.3">
      <c r="A7">
        <v>114</v>
      </c>
      <c r="B7" t="s">
        <v>8</v>
      </c>
      <c r="C7">
        <v>235.15</v>
      </c>
      <c r="D7">
        <v>289.06</v>
      </c>
      <c r="E7">
        <v>401.1</v>
      </c>
      <c r="F7">
        <v>487.97</v>
      </c>
      <c r="G7">
        <v>538.08000000000004</v>
      </c>
      <c r="H7">
        <v>500.49</v>
      </c>
      <c r="I7">
        <v>443.67</v>
      </c>
      <c r="J7">
        <v>463.28</v>
      </c>
      <c r="K7">
        <v>415.48</v>
      </c>
      <c r="L7">
        <v>370.16</v>
      </c>
      <c r="M7">
        <v>245.3</v>
      </c>
      <c r="N7">
        <v>218.36</v>
      </c>
    </row>
    <row r="8" spans="1:14" x14ac:dyDescent="0.3">
      <c r="A8">
        <v>119</v>
      </c>
      <c r="B8" t="s">
        <v>9</v>
      </c>
      <c r="C8">
        <v>226.26</v>
      </c>
      <c r="D8">
        <v>278.94</v>
      </c>
      <c r="E8">
        <v>390.23</v>
      </c>
      <c r="F8">
        <v>469.88</v>
      </c>
      <c r="G8">
        <v>518.37</v>
      </c>
      <c r="H8">
        <v>470.03</v>
      </c>
      <c r="I8">
        <v>408.06</v>
      </c>
      <c r="J8">
        <v>432.64</v>
      </c>
      <c r="K8">
        <v>383.98</v>
      </c>
      <c r="L8">
        <v>355.09</v>
      </c>
      <c r="M8">
        <v>236.58</v>
      </c>
      <c r="N8">
        <v>208.49</v>
      </c>
    </row>
    <row r="9" spans="1:14" x14ac:dyDescent="0.3">
      <c r="A9">
        <v>129</v>
      </c>
      <c r="B9" t="s">
        <v>10</v>
      </c>
      <c r="C9">
        <v>240.68</v>
      </c>
      <c r="D9">
        <v>303.66000000000003</v>
      </c>
      <c r="E9">
        <v>422.81</v>
      </c>
      <c r="F9">
        <v>506.72</v>
      </c>
      <c r="G9">
        <v>576.09</v>
      </c>
      <c r="H9">
        <v>515.11</v>
      </c>
      <c r="I9">
        <v>449.54</v>
      </c>
      <c r="J9">
        <v>482.12</v>
      </c>
      <c r="K9">
        <v>430.81</v>
      </c>
      <c r="L9">
        <v>386.08</v>
      </c>
      <c r="M9">
        <v>251.74</v>
      </c>
      <c r="N9">
        <v>218.77</v>
      </c>
    </row>
    <row r="10" spans="1:14" x14ac:dyDescent="0.3">
      <c r="A10">
        <v>131</v>
      </c>
      <c r="B10" t="s">
        <v>11</v>
      </c>
      <c r="C10">
        <v>248.11</v>
      </c>
      <c r="D10">
        <v>305.5</v>
      </c>
      <c r="E10">
        <v>408.21</v>
      </c>
      <c r="F10">
        <v>509.89</v>
      </c>
      <c r="G10">
        <v>565.24</v>
      </c>
      <c r="H10">
        <v>504.24</v>
      </c>
      <c r="I10">
        <v>445.57</v>
      </c>
      <c r="J10">
        <v>454.05</v>
      </c>
      <c r="K10">
        <v>405.36</v>
      </c>
      <c r="L10">
        <v>373.1</v>
      </c>
      <c r="M10">
        <v>254.07</v>
      </c>
      <c r="N10">
        <v>220.59</v>
      </c>
    </row>
    <row r="11" spans="1:14" x14ac:dyDescent="0.3">
      <c r="A11">
        <v>133</v>
      </c>
      <c r="B11" t="s">
        <v>12</v>
      </c>
      <c r="C11">
        <v>246.76</v>
      </c>
      <c r="D11">
        <v>314</v>
      </c>
      <c r="E11">
        <v>432.32</v>
      </c>
      <c r="F11">
        <v>526.07000000000005</v>
      </c>
      <c r="G11">
        <v>563.79</v>
      </c>
      <c r="H11">
        <v>505.23</v>
      </c>
      <c r="I11">
        <v>466.54</v>
      </c>
      <c r="J11">
        <v>476.83</v>
      </c>
      <c r="K11">
        <v>414.72</v>
      </c>
      <c r="L11">
        <v>383.48</v>
      </c>
      <c r="M11">
        <v>261.42</v>
      </c>
      <c r="N11">
        <v>229.15</v>
      </c>
    </row>
    <row r="12" spans="1:14" x14ac:dyDescent="0.3">
      <c r="A12">
        <v>135</v>
      </c>
      <c r="B12" t="s">
        <v>13</v>
      </c>
      <c r="C12">
        <v>247.54</v>
      </c>
      <c r="D12">
        <v>300.27999999999997</v>
      </c>
      <c r="E12">
        <v>402.6</v>
      </c>
      <c r="F12">
        <v>480.65</v>
      </c>
      <c r="G12">
        <v>522.69000000000005</v>
      </c>
      <c r="H12">
        <v>472.6</v>
      </c>
      <c r="I12">
        <v>408</v>
      </c>
      <c r="J12">
        <v>414.58</v>
      </c>
      <c r="K12">
        <v>378</v>
      </c>
      <c r="L12">
        <v>380.39</v>
      </c>
      <c r="M12">
        <v>263.10000000000002</v>
      </c>
      <c r="N12">
        <v>228.91</v>
      </c>
    </row>
    <row r="13" spans="1:14" x14ac:dyDescent="0.3">
      <c r="A13">
        <v>136</v>
      </c>
      <c r="B13" t="s">
        <v>14</v>
      </c>
      <c r="C13">
        <v>255.83</v>
      </c>
      <c r="D13">
        <v>312.57</v>
      </c>
      <c r="E13">
        <v>416.11</v>
      </c>
      <c r="F13">
        <v>487.81</v>
      </c>
      <c r="G13">
        <v>533.61</v>
      </c>
      <c r="H13">
        <v>499.49</v>
      </c>
      <c r="I13">
        <v>437.68</v>
      </c>
      <c r="J13">
        <v>435.74</v>
      </c>
      <c r="K13">
        <v>377.36</v>
      </c>
      <c r="L13">
        <v>350.37</v>
      </c>
      <c r="M13">
        <v>257.57</v>
      </c>
      <c r="N13">
        <v>239.33</v>
      </c>
    </row>
    <row r="14" spans="1:14" x14ac:dyDescent="0.3">
      <c r="A14">
        <v>138</v>
      </c>
      <c r="B14" t="s">
        <v>15</v>
      </c>
      <c r="C14">
        <v>263.20999999999998</v>
      </c>
      <c r="D14">
        <v>313.24</v>
      </c>
      <c r="E14">
        <v>419.22</v>
      </c>
      <c r="F14">
        <v>509.47</v>
      </c>
      <c r="G14">
        <v>554.38</v>
      </c>
      <c r="H14">
        <v>501.35</v>
      </c>
      <c r="I14">
        <v>456.54</v>
      </c>
      <c r="J14">
        <v>454.6</v>
      </c>
      <c r="K14">
        <v>368.7</v>
      </c>
      <c r="L14">
        <v>363.37</v>
      </c>
      <c r="M14">
        <v>280.05</v>
      </c>
      <c r="N14">
        <v>253.16</v>
      </c>
    </row>
    <row r="15" spans="1:14" x14ac:dyDescent="0.3">
      <c r="A15">
        <v>143</v>
      </c>
      <c r="B15" t="s">
        <v>16</v>
      </c>
      <c r="C15">
        <v>253.89</v>
      </c>
      <c r="D15">
        <v>306.32</v>
      </c>
      <c r="E15">
        <v>421.63</v>
      </c>
      <c r="F15">
        <v>505.92</v>
      </c>
      <c r="G15">
        <v>558.66</v>
      </c>
      <c r="H15">
        <v>497.28</v>
      </c>
      <c r="I15">
        <v>452.2</v>
      </c>
      <c r="J15">
        <v>437.4</v>
      </c>
      <c r="K15">
        <v>377.5</v>
      </c>
      <c r="L15">
        <v>363.27</v>
      </c>
      <c r="M15">
        <v>260.58999999999997</v>
      </c>
      <c r="N15">
        <v>238</v>
      </c>
    </row>
    <row r="16" spans="1:14" x14ac:dyDescent="0.3">
      <c r="A16">
        <v>146</v>
      </c>
      <c r="B16" t="s">
        <v>17</v>
      </c>
      <c r="C16">
        <v>228.01</v>
      </c>
      <c r="D16">
        <v>283.10000000000002</v>
      </c>
      <c r="E16">
        <v>399.66</v>
      </c>
      <c r="F16">
        <v>488.7</v>
      </c>
      <c r="G16">
        <v>536.15</v>
      </c>
      <c r="H16">
        <v>479.96</v>
      </c>
      <c r="I16">
        <v>426.13</v>
      </c>
      <c r="J16">
        <v>437.05</v>
      </c>
      <c r="K16">
        <v>393.04</v>
      </c>
      <c r="L16">
        <v>368.12</v>
      </c>
      <c r="M16">
        <v>246.23</v>
      </c>
      <c r="N16">
        <v>207.47</v>
      </c>
    </row>
    <row r="17" spans="1:14" x14ac:dyDescent="0.3">
      <c r="A17">
        <v>156</v>
      </c>
      <c r="B17" t="s">
        <v>18</v>
      </c>
      <c r="C17">
        <v>253.71</v>
      </c>
      <c r="D17">
        <v>318.64</v>
      </c>
      <c r="E17">
        <v>440.87</v>
      </c>
      <c r="F17">
        <v>527.04</v>
      </c>
      <c r="G17">
        <v>568.01</v>
      </c>
      <c r="H17">
        <v>491.81</v>
      </c>
      <c r="I17">
        <v>460.44</v>
      </c>
      <c r="J17">
        <v>468.72</v>
      </c>
      <c r="K17">
        <v>417.69</v>
      </c>
      <c r="L17">
        <v>400.16</v>
      </c>
      <c r="M17">
        <v>281.02</v>
      </c>
      <c r="N17">
        <v>236.22</v>
      </c>
    </row>
    <row r="18" spans="1:14" x14ac:dyDescent="0.3">
      <c r="A18">
        <v>159</v>
      </c>
      <c r="B18" t="s">
        <v>19</v>
      </c>
      <c r="C18">
        <v>266.86</v>
      </c>
      <c r="D18">
        <v>305.33</v>
      </c>
      <c r="E18">
        <v>400.35</v>
      </c>
      <c r="F18">
        <v>485.84</v>
      </c>
      <c r="G18">
        <v>533.41</v>
      </c>
      <c r="H18">
        <v>474.2</v>
      </c>
      <c r="I18">
        <v>447.5</v>
      </c>
      <c r="J18">
        <v>469.95</v>
      </c>
      <c r="K18">
        <v>375.29</v>
      </c>
      <c r="L18">
        <v>371.89</v>
      </c>
      <c r="M18">
        <v>283.17</v>
      </c>
      <c r="N18">
        <v>255.18</v>
      </c>
    </row>
    <row r="19" spans="1:14" x14ac:dyDescent="0.3">
      <c r="A19">
        <v>165</v>
      </c>
      <c r="B19" t="s">
        <v>20</v>
      </c>
      <c r="C19">
        <v>252.21</v>
      </c>
      <c r="D19">
        <v>318.58999999999997</v>
      </c>
      <c r="E19">
        <v>447.66</v>
      </c>
      <c r="F19">
        <v>542.66999999999996</v>
      </c>
      <c r="G19">
        <v>586.45000000000005</v>
      </c>
      <c r="H19">
        <v>522.80999999999995</v>
      </c>
      <c r="I19">
        <v>508.8</v>
      </c>
      <c r="J19">
        <v>542.61</v>
      </c>
      <c r="K19">
        <v>447.18</v>
      </c>
      <c r="L19">
        <v>422.98</v>
      </c>
      <c r="M19">
        <v>285.70999999999998</v>
      </c>
      <c r="N19">
        <v>232.75</v>
      </c>
    </row>
    <row r="20" spans="1:14" x14ac:dyDescent="0.3">
      <c r="A20">
        <v>169</v>
      </c>
      <c r="B20" t="s">
        <v>21</v>
      </c>
      <c r="C20">
        <v>224.09</v>
      </c>
      <c r="D20">
        <v>324.66000000000003</v>
      </c>
      <c r="E20">
        <v>463.94</v>
      </c>
      <c r="F20">
        <v>526.79999999999995</v>
      </c>
      <c r="G20">
        <v>553.79999999999995</v>
      </c>
      <c r="H20">
        <v>501.18</v>
      </c>
      <c r="I20">
        <v>438.55</v>
      </c>
      <c r="J20">
        <v>505.44</v>
      </c>
      <c r="K20">
        <v>438.44</v>
      </c>
      <c r="L20">
        <v>411.15</v>
      </c>
      <c r="M20">
        <v>288.43</v>
      </c>
      <c r="N20">
        <v>216.32</v>
      </c>
    </row>
    <row r="21" spans="1:14" x14ac:dyDescent="0.3">
      <c r="A21">
        <v>184</v>
      </c>
      <c r="B21" t="s">
        <v>22</v>
      </c>
      <c r="C21">
        <v>153.69999999999999</v>
      </c>
      <c r="D21">
        <v>235.36</v>
      </c>
      <c r="E21">
        <v>373.4</v>
      </c>
      <c r="F21">
        <v>485.8</v>
      </c>
      <c r="G21">
        <v>546.38</v>
      </c>
      <c r="H21">
        <v>497.71</v>
      </c>
      <c r="I21">
        <v>534.29999999999995</v>
      </c>
      <c r="J21">
        <v>502.95</v>
      </c>
      <c r="K21">
        <v>396.47</v>
      </c>
      <c r="L21">
        <v>371.05</v>
      </c>
      <c r="M21">
        <v>242.57</v>
      </c>
      <c r="N21">
        <v>174.08</v>
      </c>
    </row>
    <row r="22" spans="1:14" x14ac:dyDescent="0.3">
      <c r="A22">
        <v>185</v>
      </c>
      <c r="B22" t="s">
        <v>23</v>
      </c>
      <c r="C22">
        <v>179.53</v>
      </c>
      <c r="D22">
        <v>265.5</v>
      </c>
      <c r="E22">
        <v>401.88</v>
      </c>
      <c r="F22">
        <v>490.09</v>
      </c>
      <c r="G22">
        <v>522.20000000000005</v>
      </c>
      <c r="H22">
        <v>453.46</v>
      </c>
      <c r="I22">
        <v>497.45</v>
      </c>
      <c r="J22">
        <v>538.16999999999996</v>
      </c>
      <c r="K22">
        <v>445.84</v>
      </c>
      <c r="L22">
        <v>419.82</v>
      </c>
      <c r="M22">
        <v>272.38</v>
      </c>
      <c r="N22">
        <v>190.93</v>
      </c>
    </row>
    <row r="23" spans="1:14" x14ac:dyDescent="0.3">
      <c r="A23">
        <v>192</v>
      </c>
      <c r="B23" t="s">
        <v>24</v>
      </c>
      <c r="C23">
        <v>293.81</v>
      </c>
      <c r="D23">
        <v>343.49</v>
      </c>
      <c r="E23">
        <v>455.5</v>
      </c>
      <c r="F23">
        <v>527.86</v>
      </c>
      <c r="G23">
        <v>567.39</v>
      </c>
      <c r="H23">
        <v>492.88</v>
      </c>
      <c r="I23">
        <v>467.83</v>
      </c>
      <c r="J23">
        <v>479.22</v>
      </c>
      <c r="K23">
        <v>416.52</v>
      </c>
      <c r="L23">
        <v>416.35</v>
      </c>
      <c r="M23">
        <v>302.76</v>
      </c>
      <c r="N23">
        <v>283.47000000000003</v>
      </c>
    </row>
    <row r="25" spans="1:14" x14ac:dyDescent="0.3">
      <c r="A25" t="s">
        <v>38</v>
      </c>
      <c r="B25" t="s">
        <v>1</v>
      </c>
      <c r="C25" t="s">
        <v>26</v>
      </c>
      <c r="D25" t="s">
        <v>27</v>
      </c>
      <c r="E25" t="s">
        <v>28</v>
      </c>
      <c r="F25" t="s">
        <v>29</v>
      </c>
      <c r="G25" t="s">
        <v>30</v>
      </c>
      <c r="H25" t="s">
        <v>31</v>
      </c>
      <c r="I25" t="s">
        <v>32</v>
      </c>
      <c r="J25" t="s">
        <v>33</v>
      </c>
      <c r="K25" t="s">
        <v>34</v>
      </c>
      <c r="L25" t="s">
        <v>35</v>
      </c>
      <c r="M25" t="s">
        <v>36</v>
      </c>
      <c r="N25" t="s">
        <v>37</v>
      </c>
    </row>
    <row r="26" spans="1:14" x14ac:dyDescent="0.3">
      <c r="A26">
        <v>100</v>
      </c>
      <c r="B26" t="s">
        <v>3</v>
      </c>
      <c r="C26">
        <f t="shared" ref="C26:N41" si="0">(2.8*C2)/10</f>
        <v>77.562799999999996</v>
      </c>
      <c r="D26">
        <f t="shared" si="0"/>
        <v>90.518399999999986</v>
      </c>
      <c r="E26">
        <f t="shared" si="0"/>
        <v>119.67199999999998</v>
      </c>
      <c r="F26">
        <f t="shared" si="0"/>
        <v>142.49759999999998</v>
      </c>
      <c r="G26">
        <f t="shared" si="0"/>
        <v>156.56479999999999</v>
      </c>
      <c r="H26">
        <f t="shared" si="0"/>
        <v>136.50559999999999</v>
      </c>
      <c r="I26">
        <f t="shared" si="0"/>
        <v>110.86879999999999</v>
      </c>
      <c r="J26">
        <f t="shared" si="0"/>
        <v>103.14359999999999</v>
      </c>
      <c r="K26">
        <f t="shared" si="0"/>
        <v>93.391199999999998</v>
      </c>
      <c r="L26">
        <f t="shared" si="0"/>
        <v>98.333199999999991</v>
      </c>
      <c r="M26">
        <f t="shared" si="0"/>
        <v>73.513999999999996</v>
      </c>
      <c r="N26">
        <f t="shared" si="0"/>
        <v>69.918800000000005</v>
      </c>
    </row>
    <row r="27" spans="1:14" x14ac:dyDescent="0.3">
      <c r="A27">
        <v>101</v>
      </c>
      <c r="B27" t="s">
        <v>4</v>
      </c>
      <c r="C27">
        <f t="shared" si="0"/>
        <v>64.716399999999993</v>
      </c>
      <c r="D27">
        <f t="shared" si="0"/>
        <v>81.947599999999994</v>
      </c>
      <c r="E27">
        <f t="shared" si="0"/>
        <v>115.71839999999997</v>
      </c>
      <c r="F27">
        <f t="shared" si="0"/>
        <v>138.5496</v>
      </c>
      <c r="G27">
        <f t="shared" si="0"/>
        <v>157.46359999999999</v>
      </c>
      <c r="H27">
        <f t="shared" si="0"/>
        <v>146.87399999999997</v>
      </c>
      <c r="I27">
        <f t="shared" si="0"/>
        <v>125.0116</v>
      </c>
      <c r="J27">
        <f t="shared" si="0"/>
        <v>130.96440000000001</v>
      </c>
      <c r="K27">
        <f t="shared" si="0"/>
        <v>112.82599999999999</v>
      </c>
      <c r="L27">
        <f t="shared" si="0"/>
        <v>94.284399999999991</v>
      </c>
      <c r="M27">
        <f t="shared" si="0"/>
        <v>62.775999999999989</v>
      </c>
      <c r="N27">
        <f t="shared" si="0"/>
        <v>56.209999999999994</v>
      </c>
    </row>
    <row r="28" spans="1:14" x14ac:dyDescent="0.3">
      <c r="A28">
        <v>105</v>
      </c>
      <c r="B28" t="s">
        <v>5</v>
      </c>
      <c r="C28">
        <f t="shared" si="0"/>
        <v>71.887199999999993</v>
      </c>
      <c r="D28">
        <f t="shared" si="0"/>
        <v>83.745199999999983</v>
      </c>
      <c r="E28">
        <f t="shared" si="0"/>
        <v>114.4752</v>
      </c>
      <c r="F28">
        <f t="shared" si="0"/>
        <v>136.85559999999998</v>
      </c>
      <c r="G28">
        <f t="shared" si="0"/>
        <v>154.69720000000001</v>
      </c>
      <c r="H28">
        <f t="shared" si="0"/>
        <v>138.04</v>
      </c>
      <c r="I28">
        <f t="shared" si="0"/>
        <v>119.07559999999998</v>
      </c>
      <c r="J28">
        <f t="shared" si="0"/>
        <v>116.55</v>
      </c>
      <c r="K28">
        <f t="shared" si="0"/>
        <v>101.06879999999998</v>
      </c>
      <c r="L28">
        <f t="shared" si="0"/>
        <v>96.57759999999999</v>
      </c>
      <c r="M28">
        <f t="shared" si="0"/>
        <v>70.257599999999996</v>
      </c>
      <c r="N28">
        <f t="shared" si="0"/>
        <v>65.534000000000006</v>
      </c>
    </row>
    <row r="29" spans="1:14" x14ac:dyDescent="0.3">
      <c r="A29">
        <v>108</v>
      </c>
      <c r="B29" t="s">
        <v>6</v>
      </c>
      <c r="C29">
        <f t="shared" si="0"/>
        <v>59.376799999999989</v>
      </c>
      <c r="D29">
        <f t="shared" si="0"/>
        <v>77.403199999999998</v>
      </c>
      <c r="E29">
        <f t="shared" si="0"/>
        <v>107.282</v>
      </c>
      <c r="F29">
        <f t="shared" si="0"/>
        <v>130.9924</v>
      </c>
      <c r="G29">
        <f t="shared" si="0"/>
        <v>144.31199999999998</v>
      </c>
      <c r="H29">
        <f t="shared" si="0"/>
        <v>128.04679999999999</v>
      </c>
      <c r="I29">
        <f t="shared" si="0"/>
        <v>101.108</v>
      </c>
      <c r="J29">
        <f t="shared" si="0"/>
        <v>110.78479999999999</v>
      </c>
      <c r="K29">
        <f t="shared" si="0"/>
        <v>100.0608</v>
      </c>
      <c r="L29">
        <f t="shared" si="0"/>
        <v>90.787199999999999</v>
      </c>
      <c r="M29">
        <f t="shared" si="0"/>
        <v>59.0884</v>
      </c>
      <c r="N29">
        <f t="shared" si="0"/>
        <v>51.029999999999994</v>
      </c>
    </row>
    <row r="30" spans="1:14" x14ac:dyDescent="0.3">
      <c r="A30">
        <v>112</v>
      </c>
      <c r="B30" t="s">
        <v>7</v>
      </c>
      <c r="C30">
        <f t="shared" si="0"/>
        <v>66.211600000000004</v>
      </c>
      <c r="D30">
        <f t="shared" si="0"/>
        <v>86.155999999999992</v>
      </c>
      <c r="E30">
        <f t="shared" si="0"/>
        <v>120.85359999999999</v>
      </c>
      <c r="F30">
        <f t="shared" si="0"/>
        <v>142.68519999999998</v>
      </c>
      <c r="G30">
        <f t="shared" si="0"/>
        <v>155.92079999999999</v>
      </c>
      <c r="H30">
        <f t="shared" si="0"/>
        <v>142.43039999999999</v>
      </c>
      <c r="I30">
        <f t="shared" si="0"/>
        <v>121.57599999999999</v>
      </c>
      <c r="J30">
        <f t="shared" si="0"/>
        <v>131.98639999999997</v>
      </c>
      <c r="K30">
        <f t="shared" si="0"/>
        <v>118.398</v>
      </c>
      <c r="L30">
        <f t="shared" si="0"/>
        <v>106.554</v>
      </c>
      <c r="M30">
        <f t="shared" si="0"/>
        <v>70.263199999999998</v>
      </c>
      <c r="N30">
        <f t="shared" si="0"/>
        <v>62.504399999999997</v>
      </c>
    </row>
    <row r="31" spans="1:14" x14ac:dyDescent="0.3">
      <c r="A31">
        <v>114</v>
      </c>
      <c r="B31" t="s">
        <v>8</v>
      </c>
      <c r="C31">
        <f t="shared" si="0"/>
        <v>65.841999999999999</v>
      </c>
      <c r="D31">
        <f t="shared" si="0"/>
        <v>80.936799999999991</v>
      </c>
      <c r="E31">
        <f t="shared" si="0"/>
        <v>112.30799999999999</v>
      </c>
      <c r="F31">
        <f t="shared" si="0"/>
        <v>136.63159999999999</v>
      </c>
      <c r="G31">
        <f t="shared" si="0"/>
        <v>150.66239999999999</v>
      </c>
      <c r="H31">
        <f t="shared" si="0"/>
        <v>140.13719999999998</v>
      </c>
      <c r="I31">
        <f t="shared" si="0"/>
        <v>124.22760000000001</v>
      </c>
      <c r="J31">
        <f t="shared" si="0"/>
        <v>129.71839999999997</v>
      </c>
      <c r="K31">
        <f t="shared" si="0"/>
        <v>116.3344</v>
      </c>
      <c r="L31">
        <f t="shared" si="0"/>
        <v>103.6448</v>
      </c>
      <c r="M31">
        <f t="shared" si="0"/>
        <v>68.683999999999997</v>
      </c>
      <c r="N31">
        <f t="shared" si="0"/>
        <v>61.140799999999999</v>
      </c>
    </row>
    <row r="32" spans="1:14" x14ac:dyDescent="0.3">
      <c r="A32">
        <v>119</v>
      </c>
      <c r="B32" t="s">
        <v>9</v>
      </c>
      <c r="C32">
        <f t="shared" si="0"/>
        <v>63.352799999999988</v>
      </c>
      <c r="D32">
        <f t="shared" si="0"/>
        <v>78.103199999999987</v>
      </c>
      <c r="E32">
        <f t="shared" si="0"/>
        <v>109.26439999999999</v>
      </c>
      <c r="F32">
        <f t="shared" si="0"/>
        <v>131.56639999999999</v>
      </c>
      <c r="G32">
        <f t="shared" si="0"/>
        <v>145.14359999999999</v>
      </c>
      <c r="H32">
        <f t="shared" si="0"/>
        <v>131.60839999999999</v>
      </c>
      <c r="I32">
        <f t="shared" si="0"/>
        <v>114.2568</v>
      </c>
      <c r="J32">
        <f t="shared" si="0"/>
        <v>121.13919999999999</v>
      </c>
      <c r="K32">
        <f t="shared" si="0"/>
        <v>107.51439999999999</v>
      </c>
      <c r="L32">
        <f t="shared" si="0"/>
        <v>99.42519999999999</v>
      </c>
      <c r="M32">
        <f t="shared" si="0"/>
        <v>66.242400000000004</v>
      </c>
      <c r="N32">
        <f t="shared" si="0"/>
        <v>58.377199999999995</v>
      </c>
    </row>
    <row r="33" spans="1:14" x14ac:dyDescent="0.3">
      <c r="A33">
        <v>129</v>
      </c>
      <c r="B33" t="s">
        <v>10</v>
      </c>
      <c r="C33">
        <f t="shared" si="0"/>
        <v>67.3904</v>
      </c>
      <c r="D33">
        <f t="shared" si="0"/>
        <v>85.024799999999999</v>
      </c>
      <c r="E33">
        <f t="shared" si="0"/>
        <v>118.38679999999999</v>
      </c>
      <c r="F33">
        <f t="shared" si="0"/>
        <v>141.88159999999999</v>
      </c>
      <c r="G33">
        <f t="shared" si="0"/>
        <v>161.30519999999999</v>
      </c>
      <c r="H33">
        <f t="shared" si="0"/>
        <v>144.23079999999999</v>
      </c>
      <c r="I33">
        <f t="shared" si="0"/>
        <v>125.8712</v>
      </c>
      <c r="J33">
        <f t="shared" si="0"/>
        <v>134.99359999999999</v>
      </c>
      <c r="K33">
        <f t="shared" si="0"/>
        <v>120.6268</v>
      </c>
      <c r="L33">
        <f t="shared" si="0"/>
        <v>108.10239999999999</v>
      </c>
      <c r="M33">
        <f t="shared" si="0"/>
        <v>70.487200000000001</v>
      </c>
      <c r="N33">
        <f t="shared" si="0"/>
        <v>61.255600000000001</v>
      </c>
    </row>
    <row r="34" spans="1:14" x14ac:dyDescent="0.3">
      <c r="A34">
        <v>131</v>
      </c>
      <c r="B34" t="s">
        <v>11</v>
      </c>
      <c r="C34">
        <f t="shared" si="0"/>
        <v>69.470799999999997</v>
      </c>
      <c r="D34">
        <f t="shared" si="0"/>
        <v>85.539999999999992</v>
      </c>
      <c r="E34">
        <f t="shared" si="0"/>
        <v>114.29879999999999</v>
      </c>
      <c r="F34">
        <f t="shared" si="0"/>
        <v>142.76919999999998</v>
      </c>
      <c r="G34">
        <f t="shared" si="0"/>
        <v>158.2672</v>
      </c>
      <c r="H34">
        <f t="shared" si="0"/>
        <v>141.18719999999999</v>
      </c>
      <c r="I34">
        <f t="shared" si="0"/>
        <v>124.75960000000001</v>
      </c>
      <c r="J34">
        <f t="shared" si="0"/>
        <v>127.13399999999999</v>
      </c>
      <c r="K34">
        <f t="shared" si="0"/>
        <v>113.5008</v>
      </c>
      <c r="L34">
        <f t="shared" si="0"/>
        <v>104.468</v>
      </c>
      <c r="M34">
        <f t="shared" si="0"/>
        <v>71.139600000000002</v>
      </c>
      <c r="N34">
        <f t="shared" si="0"/>
        <v>61.765199999999993</v>
      </c>
    </row>
    <row r="35" spans="1:14" x14ac:dyDescent="0.3">
      <c r="A35">
        <v>133</v>
      </c>
      <c r="B35" t="s">
        <v>12</v>
      </c>
      <c r="C35">
        <f t="shared" si="0"/>
        <v>69.092799999999983</v>
      </c>
      <c r="D35">
        <f t="shared" si="0"/>
        <v>87.919999999999987</v>
      </c>
      <c r="E35">
        <f t="shared" si="0"/>
        <v>121.04959999999998</v>
      </c>
      <c r="F35">
        <f t="shared" si="0"/>
        <v>147.2996</v>
      </c>
      <c r="G35">
        <f t="shared" si="0"/>
        <v>157.8612</v>
      </c>
      <c r="H35">
        <f t="shared" si="0"/>
        <v>141.46440000000001</v>
      </c>
      <c r="I35">
        <f t="shared" si="0"/>
        <v>130.63119999999998</v>
      </c>
      <c r="J35">
        <f t="shared" si="0"/>
        <v>133.51239999999999</v>
      </c>
      <c r="K35">
        <f t="shared" si="0"/>
        <v>116.12159999999999</v>
      </c>
      <c r="L35">
        <f t="shared" si="0"/>
        <v>107.37439999999999</v>
      </c>
      <c r="M35">
        <f t="shared" si="0"/>
        <v>73.197599999999994</v>
      </c>
      <c r="N35">
        <f t="shared" si="0"/>
        <v>64.162000000000006</v>
      </c>
    </row>
    <row r="36" spans="1:14" x14ac:dyDescent="0.3">
      <c r="A36">
        <v>135</v>
      </c>
      <c r="B36" t="s">
        <v>13</v>
      </c>
      <c r="C36">
        <f t="shared" si="0"/>
        <v>69.311199999999999</v>
      </c>
      <c r="D36">
        <f t="shared" si="0"/>
        <v>84.078399999999988</v>
      </c>
      <c r="E36">
        <f t="shared" si="0"/>
        <v>112.72799999999999</v>
      </c>
      <c r="F36">
        <f t="shared" si="0"/>
        <v>134.58199999999999</v>
      </c>
      <c r="G36">
        <f t="shared" si="0"/>
        <v>146.35320000000002</v>
      </c>
      <c r="H36">
        <f t="shared" si="0"/>
        <v>132.328</v>
      </c>
      <c r="I36">
        <f t="shared" si="0"/>
        <v>114.23999999999998</v>
      </c>
      <c r="J36">
        <f t="shared" si="0"/>
        <v>116.08239999999998</v>
      </c>
      <c r="K36">
        <f t="shared" si="0"/>
        <v>105.83999999999999</v>
      </c>
      <c r="L36">
        <f t="shared" si="0"/>
        <v>106.50919999999999</v>
      </c>
      <c r="M36">
        <f t="shared" si="0"/>
        <v>73.668000000000006</v>
      </c>
      <c r="N36">
        <f t="shared" si="0"/>
        <v>64.094799999999992</v>
      </c>
    </row>
    <row r="37" spans="1:14" x14ac:dyDescent="0.3">
      <c r="A37">
        <v>136</v>
      </c>
      <c r="B37" t="s">
        <v>14</v>
      </c>
      <c r="C37">
        <f t="shared" si="0"/>
        <v>71.63239999999999</v>
      </c>
      <c r="D37">
        <f t="shared" si="0"/>
        <v>87.519599999999997</v>
      </c>
      <c r="E37">
        <f t="shared" si="0"/>
        <v>116.51079999999999</v>
      </c>
      <c r="F37">
        <f t="shared" si="0"/>
        <v>136.58679999999998</v>
      </c>
      <c r="G37">
        <f t="shared" si="0"/>
        <v>149.41079999999999</v>
      </c>
      <c r="H37">
        <f t="shared" si="0"/>
        <v>139.85719999999998</v>
      </c>
      <c r="I37">
        <f t="shared" si="0"/>
        <v>122.5504</v>
      </c>
      <c r="J37">
        <f t="shared" si="0"/>
        <v>122.00719999999998</v>
      </c>
      <c r="K37">
        <f t="shared" si="0"/>
        <v>105.66079999999999</v>
      </c>
      <c r="L37">
        <f t="shared" si="0"/>
        <v>98.1036</v>
      </c>
      <c r="M37">
        <f t="shared" si="0"/>
        <v>72.119599999999991</v>
      </c>
      <c r="N37">
        <f t="shared" si="0"/>
        <v>67.0124</v>
      </c>
    </row>
    <row r="38" spans="1:14" x14ac:dyDescent="0.3">
      <c r="A38">
        <v>138</v>
      </c>
      <c r="B38" t="s">
        <v>15</v>
      </c>
      <c r="C38">
        <f t="shared" si="0"/>
        <v>73.698799999999991</v>
      </c>
      <c r="D38">
        <f t="shared" si="0"/>
        <v>87.7072</v>
      </c>
      <c r="E38">
        <f t="shared" si="0"/>
        <v>117.38160000000001</v>
      </c>
      <c r="F38">
        <f t="shared" si="0"/>
        <v>142.6516</v>
      </c>
      <c r="G38">
        <f t="shared" si="0"/>
        <v>155.22639999999998</v>
      </c>
      <c r="H38">
        <f t="shared" si="0"/>
        <v>140.37799999999999</v>
      </c>
      <c r="I38">
        <f t="shared" si="0"/>
        <v>127.8312</v>
      </c>
      <c r="J38">
        <f t="shared" si="0"/>
        <v>127.28799999999998</v>
      </c>
      <c r="K38">
        <f t="shared" si="0"/>
        <v>103.23599999999999</v>
      </c>
      <c r="L38">
        <f t="shared" si="0"/>
        <v>101.74359999999999</v>
      </c>
      <c r="M38">
        <f t="shared" si="0"/>
        <v>78.414000000000001</v>
      </c>
      <c r="N38">
        <f t="shared" si="0"/>
        <v>70.884799999999998</v>
      </c>
    </row>
    <row r="39" spans="1:14" x14ac:dyDescent="0.3">
      <c r="A39">
        <v>143</v>
      </c>
      <c r="B39" t="s">
        <v>16</v>
      </c>
      <c r="C39">
        <f t="shared" si="0"/>
        <v>71.089199999999991</v>
      </c>
      <c r="D39">
        <f t="shared" si="0"/>
        <v>85.769599999999997</v>
      </c>
      <c r="E39">
        <f t="shared" si="0"/>
        <v>118.05639999999998</v>
      </c>
      <c r="F39">
        <f t="shared" si="0"/>
        <v>141.6576</v>
      </c>
      <c r="G39">
        <f t="shared" si="0"/>
        <v>156.42479999999998</v>
      </c>
      <c r="H39">
        <f t="shared" si="0"/>
        <v>139.23839999999998</v>
      </c>
      <c r="I39">
        <f t="shared" si="0"/>
        <v>126.61599999999999</v>
      </c>
      <c r="J39">
        <f t="shared" si="0"/>
        <v>122.47199999999998</v>
      </c>
      <c r="K39">
        <f t="shared" si="0"/>
        <v>105.7</v>
      </c>
      <c r="L39">
        <f t="shared" si="0"/>
        <v>101.71559999999998</v>
      </c>
      <c r="M39">
        <f t="shared" si="0"/>
        <v>72.965199999999996</v>
      </c>
      <c r="N39">
        <f t="shared" si="0"/>
        <v>66.64</v>
      </c>
    </row>
    <row r="40" spans="1:14" x14ac:dyDescent="0.3">
      <c r="A40">
        <v>146</v>
      </c>
      <c r="B40" t="s">
        <v>17</v>
      </c>
      <c r="C40">
        <f t="shared" si="0"/>
        <v>63.84279999999999</v>
      </c>
      <c r="D40">
        <f t="shared" si="0"/>
        <v>79.268000000000001</v>
      </c>
      <c r="E40">
        <f t="shared" si="0"/>
        <v>111.90479999999999</v>
      </c>
      <c r="F40">
        <f t="shared" si="0"/>
        <v>136.83599999999998</v>
      </c>
      <c r="G40">
        <f t="shared" si="0"/>
        <v>150.12199999999999</v>
      </c>
      <c r="H40">
        <f t="shared" si="0"/>
        <v>134.3888</v>
      </c>
      <c r="I40">
        <f t="shared" si="0"/>
        <v>119.3164</v>
      </c>
      <c r="J40">
        <f t="shared" si="0"/>
        <v>122.374</v>
      </c>
      <c r="K40">
        <f t="shared" si="0"/>
        <v>110.05119999999999</v>
      </c>
      <c r="L40">
        <f t="shared" si="0"/>
        <v>103.07359999999998</v>
      </c>
      <c r="M40">
        <f t="shared" si="0"/>
        <v>68.944400000000002</v>
      </c>
      <c r="N40">
        <f t="shared" si="0"/>
        <v>58.091599999999993</v>
      </c>
    </row>
    <row r="41" spans="1:14" x14ac:dyDescent="0.3">
      <c r="A41">
        <v>156</v>
      </c>
      <c r="B41" t="s">
        <v>18</v>
      </c>
      <c r="C41">
        <f t="shared" si="0"/>
        <v>71.038800000000009</v>
      </c>
      <c r="D41">
        <f t="shared" si="0"/>
        <v>89.219199999999987</v>
      </c>
      <c r="E41">
        <f t="shared" si="0"/>
        <v>123.44359999999999</v>
      </c>
      <c r="F41">
        <f t="shared" si="0"/>
        <v>147.57119999999998</v>
      </c>
      <c r="G41">
        <f t="shared" si="0"/>
        <v>159.0428</v>
      </c>
      <c r="H41">
        <f t="shared" si="0"/>
        <v>137.70679999999999</v>
      </c>
      <c r="I41">
        <f t="shared" si="0"/>
        <v>128.92320000000001</v>
      </c>
      <c r="J41">
        <f t="shared" si="0"/>
        <v>131.24160000000001</v>
      </c>
      <c r="K41">
        <f t="shared" si="0"/>
        <v>116.9532</v>
      </c>
      <c r="L41">
        <f t="shared" si="0"/>
        <v>112.04480000000001</v>
      </c>
      <c r="M41">
        <f t="shared" si="0"/>
        <v>78.685599999999994</v>
      </c>
      <c r="N41">
        <f t="shared" si="0"/>
        <v>66.141599999999997</v>
      </c>
    </row>
    <row r="42" spans="1:14" x14ac:dyDescent="0.3">
      <c r="A42">
        <v>159</v>
      </c>
      <c r="B42" t="s">
        <v>19</v>
      </c>
      <c r="C42">
        <f t="shared" ref="C42:N47" si="1">(2.8*C18)/10</f>
        <v>74.720799999999997</v>
      </c>
      <c r="D42">
        <f t="shared" si="1"/>
        <v>85.492399999999989</v>
      </c>
      <c r="E42">
        <f t="shared" si="1"/>
        <v>112.098</v>
      </c>
      <c r="F42">
        <f t="shared" si="1"/>
        <v>136.03519999999997</v>
      </c>
      <c r="G42">
        <f t="shared" si="1"/>
        <v>149.35479999999998</v>
      </c>
      <c r="H42">
        <f t="shared" si="1"/>
        <v>132.77600000000001</v>
      </c>
      <c r="I42">
        <f t="shared" si="1"/>
        <v>125.3</v>
      </c>
      <c r="J42">
        <f t="shared" si="1"/>
        <v>131.58599999999998</v>
      </c>
      <c r="K42">
        <f t="shared" si="1"/>
        <v>105.0812</v>
      </c>
      <c r="L42">
        <f t="shared" si="1"/>
        <v>104.1292</v>
      </c>
      <c r="M42">
        <f t="shared" si="1"/>
        <v>79.287599999999998</v>
      </c>
      <c r="N42">
        <f t="shared" si="1"/>
        <v>71.450400000000002</v>
      </c>
    </row>
    <row r="43" spans="1:14" x14ac:dyDescent="0.3">
      <c r="A43">
        <v>165</v>
      </c>
      <c r="B43" t="s">
        <v>20</v>
      </c>
      <c r="C43">
        <f t="shared" si="1"/>
        <v>70.618799999999993</v>
      </c>
      <c r="D43">
        <f t="shared" si="1"/>
        <v>89.205199999999991</v>
      </c>
      <c r="E43">
        <f t="shared" si="1"/>
        <v>125.34480000000001</v>
      </c>
      <c r="F43">
        <f t="shared" si="1"/>
        <v>151.94759999999999</v>
      </c>
      <c r="G43">
        <f t="shared" si="1"/>
        <v>164.20599999999999</v>
      </c>
      <c r="H43">
        <f t="shared" si="1"/>
        <v>146.38679999999997</v>
      </c>
      <c r="I43">
        <f t="shared" si="1"/>
        <v>142.464</v>
      </c>
      <c r="J43">
        <f t="shared" si="1"/>
        <v>151.9308</v>
      </c>
      <c r="K43">
        <f t="shared" si="1"/>
        <v>125.21040000000001</v>
      </c>
      <c r="L43">
        <f t="shared" si="1"/>
        <v>118.43440000000001</v>
      </c>
      <c r="M43">
        <f t="shared" si="1"/>
        <v>79.998799999999989</v>
      </c>
      <c r="N43">
        <f t="shared" si="1"/>
        <v>65.169999999999987</v>
      </c>
    </row>
    <row r="44" spans="1:14" x14ac:dyDescent="0.3">
      <c r="A44">
        <v>169</v>
      </c>
      <c r="B44" t="s">
        <v>21</v>
      </c>
      <c r="C44">
        <f t="shared" si="1"/>
        <v>62.745199999999997</v>
      </c>
      <c r="D44">
        <f t="shared" si="1"/>
        <v>90.904799999999994</v>
      </c>
      <c r="E44">
        <f t="shared" si="1"/>
        <v>129.9032</v>
      </c>
      <c r="F44">
        <f t="shared" si="1"/>
        <v>147.50399999999996</v>
      </c>
      <c r="G44">
        <f t="shared" si="1"/>
        <v>155.06399999999999</v>
      </c>
      <c r="H44">
        <f t="shared" si="1"/>
        <v>140.3304</v>
      </c>
      <c r="I44">
        <f t="shared" si="1"/>
        <v>122.79400000000001</v>
      </c>
      <c r="J44">
        <f t="shared" si="1"/>
        <v>141.5232</v>
      </c>
      <c r="K44">
        <f t="shared" si="1"/>
        <v>122.76319999999998</v>
      </c>
      <c r="L44">
        <f t="shared" si="1"/>
        <v>115.12199999999999</v>
      </c>
      <c r="M44">
        <f t="shared" si="1"/>
        <v>80.76039999999999</v>
      </c>
      <c r="N44">
        <f t="shared" si="1"/>
        <v>60.569599999999994</v>
      </c>
    </row>
    <row r="45" spans="1:14" x14ac:dyDescent="0.3">
      <c r="A45">
        <v>184</v>
      </c>
      <c r="B45" t="s">
        <v>22</v>
      </c>
      <c r="C45">
        <f t="shared" si="1"/>
        <v>43.035999999999994</v>
      </c>
      <c r="D45">
        <f t="shared" si="1"/>
        <v>65.900800000000004</v>
      </c>
      <c r="E45">
        <f t="shared" si="1"/>
        <v>104.55199999999999</v>
      </c>
      <c r="F45">
        <f t="shared" si="1"/>
        <v>136.024</v>
      </c>
      <c r="G45">
        <f t="shared" si="1"/>
        <v>152.98639999999997</v>
      </c>
      <c r="H45">
        <f t="shared" si="1"/>
        <v>139.3588</v>
      </c>
      <c r="I45">
        <f t="shared" si="1"/>
        <v>149.60399999999998</v>
      </c>
      <c r="J45">
        <f t="shared" si="1"/>
        <v>140.82599999999999</v>
      </c>
      <c r="K45">
        <f t="shared" si="1"/>
        <v>111.0116</v>
      </c>
      <c r="L45">
        <f t="shared" si="1"/>
        <v>103.89400000000001</v>
      </c>
      <c r="M45">
        <f t="shared" si="1"/>
        <v>67.919599999999988</v>
      </c>
      <c r="N45">
        <f t="shared" si="1"/>
        <v>48.742399999999996</v>
      </c>
    </row>
    <row r="46" spans="1:14" x14ac:dyDescent="0.3">
      <c r="A46">
        <v>185</v>
      </c>
      <c r="B46" t="s">
        <v>23</v>
      </c>
      <c r="C46">
        <f t="shared" si="1"/>
        <v>50.2684</v>
      </c>
      <c r="D46">
        <f t="shared" si="1"/>
        <v>74.34</v>
      </c>
      <c r="E46">
        <f t="shared" si="1"/>
        <v>112.5264</v>
      </c>
      <c r="F46">
        <f t="shared" si="1"/>
        <v>137.2252</v>
      </c>
      <c r="G46">
        <f t="shared" si="1"/>
        <v>146.21600000000001</v>
      </c>
      <c r="H46">
        <f t="shared" si="1"/>
        <v>126.96879999999999</v>
      </c>
      <c r="I46">
        <f t="shared" si="1"/>
        <v>139.286</v>
      </c>
      <c r="J46">
        <f t="shared" si="1"/>
        <v>150.68759999999997</v>
      </c>
      <c r="K46">
        <f t="shared" si="1"/>
        <v>124.83519999999999</v>
      </c>
      <c r="L46">
        <f t="shared" si="1"/>
        <v>117.54959999999998</v>
      </c>
      <c r="M46">
        <f t="shared" si="1"/>
        <v>76.266400000000004</v>
      </c>
      <c r="N46">
        <f t="shared" si="1"/>
        <v>53.460400000000007</v>
      </c>
    </row>
    <row r="47" spans="1:14" x14ac:dyDescent="0.3">
      <c r="A47">
        <v>192</v>
      </c>
      <c r="B47" t="s">
        <v>24</v>
      </c>
      <c r="C47">
        <f t="shared" si="1"/>
        <v>82.266800000000003</v>
      </c>
      <c r="D47">
        <f t="shared" si="1"/>
        <v>96.177199999999999</v>
      </c>
      <c r="E47">
        <f t="shared" si="1"/>
        <v>127.53999999999999</v>
      </c>
      <c r="F47">
        <f t="shared" si="1"/>
        <v>147.80080000000001</v>
      </c>
      <c r="G47">
        <f t="shared" si="1"/>
        <v>158.86919999999998</v>
      </c>
      <c r="H47">
        <f t="shared" si="1"/>
        <v>138.00639999999999</v>
      </c>
      <c r="I47">
        <f t="shared" si="1"/>
        <v>130.9924</v>
      </c>
      <c r="J47">
        <f t="shared" si="1"/>
        <v>134.1816</v>
      </c>
      <c r="K47">
        <f t="shared" si="1"/>
        <v>116.62559999999999</v>
      </c>
      <c r="L47">
        <f t="shared" si="1"/>
        <v>116.578</v>
      </c>
      <c r="M47">
        <f t="shared" si="1"/>
        <v>84.772799999999989</v>
      </c>
      <c r="N47">
        <f t="shared" si="1"/>
        <v>79.371600000000001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20년평균</vt:lpstr>
      <vt:lpstr>20년월평균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</dc:creator>
  <cp:lastModifiedBy>이상혁</cp:lastModifiedBy>
  <dcterms:created xsi:type="dcterms:W3CDTF">2015-10-01T11:49:00Z</dcterms:created>
  <dcterms:modified xsi:type="dcterms:W3CDTF">2016-02-29T14:50:50Z</dcterms:modified>
</cp:coreProperties>
</file>